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<sst xmlns="http://schemas.openxmlformats.org/spreadsheetml/2006/main" count="363" uniqueCount="96">
  <si>
    <t>Nome</t>
  </si>
  <si>
    <t>Email</t>
  </si>
  <si>
    <t>Telefone</t>
  </si>
  <si>
    <t>CPF</t>
  </si>
  <si>
    <t>Vendedor</t>
  </si>
  <si>
    <t>Valor</t>
  </si>
  <si>
    <t>Forma de pagamento</t>
  </si>
  <si>
    <t>Modelo</t>
  </si>
  <si>
    <t>Parcela</t>
  </si>
  <si>
    <t>Valor líquido</t>
  </si>
  <si>
    <t>Primeira Parcela</t>
  </si>
  <si>
    <t>Último Pagamento</t>
  </si>
  <si>
    <t>Próximo Pagamento</t>
  </si>
  <si>
    <t>EM DIA</t>
  </si>
  <si>
    <t>Repasse Novembro</t>
  </si>
  <si>
    <t>Repasse Dezembro</t>
  </si>
  <si>
    <t>Repasse Janeiro</t>
  </si>
  <si>
    <t>Repasse Fevereiro</t>
  </si>
  <si>
    <t>Repasse Março</t>
  </si>
  <si>
    <t>Repasse Abril</t>
  </si>
  <si>
    <t>Repasse Maio</t>
  </si>
  <si>
    <t>Repasse Junho</t>
  </si>
  <si>
    <t>Repasse Julho</t>
  </si>
  <si>
    <t>Repasse Agosto</t>
  </si>
  <si>
    <t>Repasse Setembro</t>
  </si>
  <si>
    <t>Repasse Outubro</t>
  </si>
  <si>
    <t>Aline Pimentel Amaro (União Médica Diagnóstico por Imagem)</t>
  </si>
  <si>
    <t>line_amaro@yahoo.com.br</t>
  </si>
  <si>
    <t>067405146-74 (CNPJ)</t>
  </si>
  <si>
    <t>Nackson</t>
  </si>
  <si>
    <t>PIX (A VISTA)</t>
  </si>
  <si>
    <t>1X</t>
  </si>
  <si>
    <t>-</t>
  </si>
  <si>
    <t>QUITADO</t>
  </si>
  <si>
    <t xml:space="preserve">Aloisio dos Santos Iria Júnior </t>
  </si>
  <si>
    <t>aloisioiriajr@gmail.com</t>
  </si>
  <si>
    <t>072154509-29</t>
  </si>
  <si>
    <t>Samuel</t>
  </si>
  <si>
    <t>Hotmart</t>
  </si>
  <si>
    <t>12x</t>
  </si>
  <si>
    <t>SIM</t>
  </si>
  <si>
    <t>Ana Sofia Vedor</t>
  </si>
  <si>
    <t>sofiacvedor@gmail.com</t>
  </si>
  <si>
    <t>PIX</t>
  </si>
  <si>
    <t>Bruno Luiz Libera</t>
  </si>
  <si>
    <t>brunoluiz_libera@hotmail.com</t>
  </si>
  <si>
    <t>015570656-08</t>
  </si>
  <si>
    <t>1x</t>
  </si>
  <si>
    <t>Caio Polimeno Guerzoni</t>
  </si>
  <si>
    <t>cpguerzoni@gmail.com</t>
  </si>
  <si>
    <t>386.522.038-06</t>
  </si>
  <si>
    <t>R$ 30.600,00</t>
  </si>
  <si>
    <r>
      <rPr>
        <rFont val="Calibri"/>
        <color theme="1"/>
        <sz val="11.0"/>
      </rPr>
      <t>PIX (</t>
    </r>
    <r>
      <rPr>
        <rFont val="Calibri"/>
        <color theme="1"/>
        <sz val="11.0"/>
      </rPr>
      <t>R$ 6.600,00</t>
    </r>
    <r>
      <rPr>
        <rFont val="Calibri"/>
        <color theme="1"/>
        <sz val="11.0"/>
      </rPr>
      <t>) + Hotmart (12x)</t>
    </r>
  </si>
  <si>
    <t>Diego Ehlers</t>
  </si>
  <si>
    <t>ehlers.diego@gmail.com</t>
  </si>
  <si>
    <t>Alba</t>
  </si>
  <si>
    <t>Eduardo Cots</t>
  </si>
  <si>
    <t>cotsmed@gmail.com</t>
  </si>
  <si>
    <t>153.301.697-63</t>
  </si>
  <si>
    <t>Estevão Borges (junto do neuropass)</t>
  </si>
  <si>
    <t>estevaofb8@gmail.com</t>
  </si>
  <si>
    <t>000768972-14</t>
  </si>
  <si>
    <t>4X</t>
  </si>
  <si>
    <t>R$ 7.087,33</t>
  </si>
  <si>
    <t>Guilherme Giurumaglia</t>
  </si>
  <si>
    <t>guiggsilva@yahoo.com.br</t>
  </si>
  <si>
    <t>298207658-62</t>
  </si>
  <si>
    <t>Helena Cristina da Silva</t>
  </si>
  <si>
    <t>hcsilvabr@yahoo.com.br</t>
  </si>
  <si>
    <t>nackson</t>
  </si>
  <si>
    <t>pix</t>
  </si>
  <si>
    <t>R$ 0,00</t>
  </si>
  <si>
    <t>Kelly Ribeiro Neves</t>
  </si>
  <si>
    <t>kellyrneves@gmail.com</t>
  </si>
  <si>
    <t>ATRASADO</t>
  </si>
  <si>
    <t>Lucas Silva Souza</t>
  </si>
  <si>
    <t>lucas.ss.id@gmail.com</t>
  </si>
  <si>
    <t>98 9164-1002</t>
  </si>
  <si>
    <t>050630033-11</t>
  </si>
  <si>
    <t>3x</t>
  </si>
  <si>
    <t>Luiz Fernando Monte Borella</t>
  </si>
  <si>
    <t>borella.luiz@gmail.com</t>
  </si>
  <si>
    <t>Maite marques</t>
  </si>
  <si>
    <t>maitems1983@gmail.com</t>
  </si>
  <si>
    <t>(11) 992160210</t>
  </si>
  <si>
    <t>Rafaela Araújo Crocetta</t>
  </si>
  <si>
    <t>rafa.crocetta@gmail.com</t>
  </si>
  <si>
    <t>043365339-62</t>
  </si>
  <si>
    <t>Renata Nunes Velloso</t>
  </si>
  <si>
    <t>rena0023@gmail.com</t>
  </si>
  <si>
    <t>Vanessa Granado</t>
  </si>
  <si>
    <t>nessagranado@gmail.com</t>
  </si>
  <si>
    <t>028.211.887-06</t>
  </si>
  <si>
    <t>Welington f b Alvim</t>
  </si>
  <si>
    <t>drwbotelho@gmail.com</t>
  </si>
  <si>
    <t>(14) 996707574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</si>
</sst>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\ #,##0.00"/>
    <numFmt numFmtId="165" formatCode="dd/MM/yyyy"/>
    <numFmt numFmtId="166" formatCode="&quot;R$&quot;\ #,##0.00;[Red]\-&quot;R$&quot;\ #,##0.00"/>
    <numFmt numFmtId="167" formatCode="[$R$ -416]#,##0.00"/>
  </numFmts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434343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164" xfId="0" applyAlignment="1" applyBorder="1" applyFont="1" applyNumberFormat="1">
      <alignment horizontal="center"/>
    </xf>
    <xf borderId="1" fillId="3" fontId="2" numFmtId="164" xfId="0" applyAlignment="1" applyBorder="1" applyFill="1" applyFont="1" applyNumberFormat="1">
      <alignment horizontal="center"/>
    </xf>
    <xf borderId="1" fillId="2" fontId="1" numFmtId="165" xfId="0" applyAlignment="1" applyBorder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/>
    </xf>
    <xf borderId="0" fillId="0" fontId="3" numFmtId="16" xfId="0" applyFont="1" applyNumberFormat="1"/>
    <xf borderId="0" fillId="0" fontId="3" numFmtId="16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4" fontId="3" numFmtId="0" xfId="0" applyAlignment="1" applyFill="1" applyFont="1">
      <alignment horizontal="center"/>
    </xf>
    <xf borderId="0" fillId="4" fontId="3" numFmtId="0" xfId="0" applyAlignment="1" applyFont="1">
      <alignment horizontal="center" shrinkToFit="0" wrapText="1"/>
    </xf>
    <xf borderId="0" fillId="4" fontId="3" numFmtId="164" xfId="0" applyAlignment="1" applyFont="1" applyNumberFormat="1">
      <alignment horizontal="center"/>
    </xf>
    <xf borderId="0" fillId="4" fontId="3" numFmtId="166" xfId="0" applyAlignment="1" applyFont="1" applyNumberFormat="1">
      <alignment horizontal="center"/>
    </xf>
    <xf borderId="0" fillId="4" fontId="3" numFmtId="16" xfId="0" applyFont="1" applyNumberFormat="1"/>
    <xf borderId="0" fillId="4" fontId="3" numFmtId="16" xfId="0" applyAlignment="1" applyFont="1" applyNumberFormat="1">
      <alignment horizontal="center"/>
    </xf>
    <xf borderId="0" fillId="4" fontId="3" numFmtId="165" xfId="0" applyAlignment="1" applyFont="1" applyNumberFormat="1">
      <alignment horizontal="center"/>
    </xf>
    <xf borderId="0" fillId="4" fontId="3" numFmtId="0" xfId="0" applyFont="1"/>
    <xf borderId="0" fillId="0" fontId="4" numFmtId="165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167" xfId="0" applyFont="1" applyNumberFormat="1"/>
    <xf borderId="0" fillId="0" fontId="3" numFmtId="164" xfId="0" applyFont="1" applyNumberFormat="1"/>
    <xf borderId="0" fillId="0" fontId="5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164" xfId="0" applyAlignment="1" applyBorder="1" applyFont="1" applyNumberFormat="1">
      <alignment horizontal="center"/>
    </xf>
    <xf borderId="1" fillId="0" fontId="3" numFmtId="166" xfId="0" applyAlignment="1" applyBorder="1" applyFont="1" applyNumberFormat="1">
      <alignment horizontal="center"/>
    </xf>
    <xf borderId="1" fillId="0" fontId="3" numFmtId="164" xfId="0" applyBorder="1" applyFont="1" applyNumberFormat="1"/>
    <xf borderId="1" fillId="0" fontId="3" numFmtId="16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14</v>
      </c>
      <c r="AB1" s="1" t="s">
        <v>15</v>
      </c>
      <c r="AC1" s="6"/>
    </row>
    <row r="2">
      <c r="A2" s="7" t="s">
        <v>26</v>
      </c>
      <c r="B2" s="7" t="s">
        <v>27</v>
      </c>
      <c r="C2" s="7">
        <v>3.1997455508E10</v>
      </c>
      <c r="D2" s="8" t="s">
        <v>28</v>
      </c>
      <c r="E2" s="7" t="s">
        <v>29</v>
      </c>
      <c r="F2" s="9">
        <v>26600.0</v>
      </c>
      <c r="G2" s="8" t="s">
        <v>30</v>
      </c>
      <c r="H2" s="7" t="s">
        <v>31</v>
      </c>
      <c r="I2" s="9">
        <v>26600.0</v>
      </c>
      <c r="J2" s="10"/>
      <c r="K2" s="11">
        <v>45968.0</v>
      </c>
      <c r="L2" s="12" t="s">
        <v>32</v>
      </c>
      <c r="M2" s="12" t="s">
        <v>32</v>
      </c>
      <c r="N2" s="13" t="s">
        <v>33</v>
      </c>
      <c r="O2" s="9">
        <f>I2*45%</f>
        <v>11970</v>
      </c>
      <c r="P2" s="14" t="s">
        <v>32</v>
      </c>
      <c r="Q2" s="7" t="s">
        <v>32</v>
      </c>
      <c r="R2" s="7" t="s">
        <v>32</v>
      </c>
      <c r="S2" s="7" t="s">
        <v>32</v>
      </c>
      <c r="T2" s="7" t="s">
        <v>32</v>
      </c>
      <c r="U2" s="7" t="s">
        <v>32</v>
      </c>
      <c r="V2" s="7" t="s">
        <v>32</v>
      </c>
      <c r="W2" s="7" t="s">
        <v>32</v>
      </c>
      <c r="X2" s="7" t="s">
        <v>32</v>
      </c>
      <c r="Y2" s="7" t="s">
        <v>32</v>
      </c>
      <c r="Z2" s="7" t="s">
        <v>32</v>
      </c>
      <c r="AA2" s="7" t="s">
        <v>32</v>
      </c>
      <c r="AB2" s="7" t="s">
        <v>32</v>
      </c>
      <c r="AC2" s="6"/>
    </row>
    <row r="3">
      <c r="A3" s="8" t="s">
        <v>34</v>
      </c>
      <c r="B3" s="7" t="s">
        <v>35</v>
      </c>
      <c r="C3" s="7">
        <v>4.198860255E10</v>
      </c>
      <c r="D3" s="8" t="s">
        <v>36</v>
      </c>
      <c r="E3" s="7" t="s">
        <v>37</v>
      </c>
      <c r="F3" s="9">
        <v>30400.0</v>
      </c>
      <c r="G3" s="8" t="s">
        <v>38</v>
      </c>
      <c r="H3" s="7" t="s">
        <v>39</v>
      </c>
      <c r="I3" s="14">
        <v>2533.34</v>
      </c>
      <c r="J3" s="10"/>
      <c r="K3" s="11">
        <v>45967.0</v>
      </c>
      <c r="L3" s="12">
        <v>46301.0</v>
      </c>
      <c r="M3" s="12">
        <v>46097.0</v>
      </c>
      <c r="N3" s="9" t="s">
        <v>40</v>
      </c>
      <c r="O3" s="9" t="s">
        <v>32</v>
      </c>
      <c r="P3" s="9" t="s">
        <v>32</v>
      </c>
      <c r="Q3" s="9" t="s">
        <v>32</v>
      </c>
      <c r="R3" s="9" t="s">
        <v>32</v>
      </c>
      <c r="S3" s="9" t="s">
        <v>32</v>
      </c>
      <c r="T3" s="9" t="s">
        <v>32</v>
      </c>
      <c r="U3" s="9" t="s">
        <v>32</v>
      </c>
      <c r="V3" s="9" t="s">
        <v>32</v>
      </c>
      <c r="W3" s="9" t="s">
        <v>32</v>
      </c>
      <c r="X3" s="9" t="s">
        <v>32</v>
      </c>
      <c r="Y3" s="9" t="s">
        <v>32</v>
      </c>
      <c r="Z3" s="9" t="s">
        <v>32</v>
      </c>
      <c r="AA3" s="7" t="s">
        <v>32</v>
      </c>
      <c r="AB3" s="7" t="s">
        <v>32</v>
      </c>
      <c r="AC3" s="6"/>
    </row>
    <row r="4">
      <c r="A4" s="7" t="s">
        <v>41</v>
      </c>
      <c r="B4" s="7" t="s">
        <v>42</v>
      </c>
      <c r="C4" s="7">
        <v>3.51917447654E11</v>
      </c>
      <c r="D4" s="8">
        <v>1.2734153106E10</v>
      </c>
      <c r="E4" s="7" t="s">
        <v>29</v>
      </c>
      <c r="F4" s="9">
        <v>30400.0</v>
      </c>
      <c r="G4" s="8" t="s">
        <v>43</v>
      </c>
      <c r="H4" s="7" t="s">
        <v>39</v>
      </c>
      <c r="I4" s="14">
        <v>2533.34</v>
      </c>
      <c r="J4" s="10"/>
      <c r="K4" s="11">
        <v>46021.0</v>
      </c>
      <c r="L4" s="12">
        <v>46386.0</v>
      </c>
      <c r="M4" s="12">
        <v>46083.0</v>
      </c>
      <c r="N4" s="9" t="s">
        <v>40</v>
      </c>
      <c r="O4" s="9" t="s">
        <v>32</v>
      </c>
      <c r="P4" s="9" t="s">
        <v>32</v>
      </c>
      <c r="Q4" s="9">
        <f>I4*45%</f>
        <v>1140.003</v>
      </c>
      <c r="R4" s="9">
        <f t="shared" ref="R4:AB4" si="1">Q4</f>
        <v>1140.003</v>
      </c>
      <c r="S4" s="9">
        <f t="shared" si="1"/>
        <v>1140.003</v>
      </c>
      <c r="T4" s="9">
        <f t="shared" si="1"/>
        <v>1140.003</v>
      </c>
      <c r="U4" s="9">
        <f t="shared" si="1"/>
        <v>1140.003</v>
      </c>
      <c r="V4" s="9">
        <f t="shared" si="1"/>
        <v>1140.003</v>
      </c>
      <c r="W4" s="9">
        <f t="shared" si="1"/>
        <v>1140.003</v>
      </c>
      <c r="X4" s="9">
        <f t="shared" si="1"/>
        <v>1140.003</v>
      </c>
      <c r="Y4" s="9">
        <f t="shared" si="1"/>
        <v>1140.003</v>
      </c>
      <c r="Z4" s="9">
        <f t="shared" si="1"/>
        <v>1140.003</v>
      </c>
      <c r="AA4" s="9">
        <f t="shared" si="1"/>
        <v>1140.003</v>
      </c>
      <c r="AB4" s="9">
        <f t="shared" si="1"/>
        <v>1140.003</v>
      </c>
      <c r="AC4" s="6"/>
    </row>
    <row r="5">
      <c r="A5" s="7" t="s">
        <v>44</v>
      </c>
      <c r="B5" s="7" t="s">
        <v>45</v>
      </c>
      <c r="C5" s="7">
        <v>2.1982241378E10</v>
      </c>
      <c r="D5" s="8" t="s">
        <v>46</v>
      </c>
      <c r="E5" s="7" t="s">
        <v>29</v>
      </c>
      <c r="F5" s="9">
        <v>25000.0</v>
      </c>
      <c r="G5" s="8" t="s">
        <v>30</v>
      </c>
      <c r="H5" s="7" t="s">
        <v>47</v>
      </c>
      <c r="I5" s="14">
        <v>25000.0</v>
      </c>
      <c r="J5" s="10"/>
      <c r="K5" s="11">
        <v>45968.0</v>
      </c>
      <c r="L5" s="12" t="s">
        <v>32</v>
      </c>
      <c r="M5" s="12" t="s">
        <v>32</v>
      </c>
      <c r="N5" s="13" t="s">
        <v>33</v>
      </c>
      <c r="O5" s="9" t="s">
        <v>32</v>
      </c>
      <c r="P5" s="9">
        <f>I5*45%</f>
        <v>11250</v>
      </c>
      <c r="Q5" s="9" t="s">
        <v>32</v>
      </c>
      <c r="R5" s="9" t="s">
        <v>32</v>
      </c>
      <c r="S5" s="9" t="s">
        <v>32</v>
      </c>
      <c r="T5" s="9" t="s">
        <v>32</v>
      </c>
      <c r="U5" s="9" t="s">
        <v>32</v>
      </c>
      <c r="V5" s="9" t="s">
        <v>32</v>
      </c>
      <c r="W5" s="9" t="s">
        <v>32</v>
      </c>
      <c r="X5" s="9" t="s">
        <v>32</v>
      </c>
      <c r="Y5" s="9" t="s">
        <v>32</v>
      </c>
      <c r="Z5" s="9" t="s">
        <v>32</v>
      </c>
      <c r="AA5" s="7" t="s">
        <v>32</v>
      </c>
      <c r="AB5" s="7" t="s">
        <v>32</v>
      </c>
      <c r="AC5" s="6"/>
    </row>
    <row r="6">
      <c r="A6" s="15" t="s">
        <v>48</v>
      </c>
      <c r="B6" s="15" t="s">
        <v>49</v>
      </c>
      <c r="C6" s="15">
        <v>6.6999081044E10</v>
      </c>
      <c r="D6" s="16" t="s">
        <v>50</v>
      </c>
      <c r="E6" s="15" t="s">
        <v>29</v>
      </c>
      <c r="F6" s="17" t="s">
        <v>51</v>
      </c>
      <c r="G6" s="16" t="s">
        <v>52</v>
      </c>
      <c r="H6" s="15" t="s">
        <v>39</v>
      </c>
      <c r="I6" s="18">
        <v>2000.0</v>
      </c>
      <c r="J6" s="19"/>
      <c r="K6" s="20">
        <v>45969.0</v>
      </c>
      <c r="L6" s="21">
        <v>46307.0</v>
      </c>
      <c r="M6" s="21">
        <v>46093.0</v>
      </c>
      <c r="N6" s="17" t="s">
        <v>40</v>
      </c>
      <c r="O6" s="17" t="s">
        <v>32</v>
      </c>
      <c r="P6" s="17" t="s">
        <v>32</v>
      </c>
      <c r="Q6" s="17">
        <f>6060*45%</f>
        <v>2727</v>
      </c>
      <c r="R6" s="17" t="s">
        <v>32</v>
      </c>
      <c r="S6" s="17" t="s">
        <v>32</v>
      </c>
      <c r="T6" s="17" t="s">
        <v>32</v>
      </c>
      <c r="U6" s="17" t="s">
        <v>32</v>
      </c>
      <c r="V6" s="17" t="s">
        <v>32</v>
      </c>
      <c r="W6" s="17" t="s">
        <v>32</v>
      </c>
      <c r="X6" s="17" t="s">
        <v>32</v>
      </c>
      <c r="Y6" s="17" t="s">
        <v>32</v>
      </c>
      <c r="Z6" s="17" t="s">
        <v>32</v>
      </c>
      <c r="AA6" s="15" t="s">
        <v>32</v>
      </c>
      <c r="AB6" s="15" t="s">
        <v>32</v>
      </c>
      <c r="AC6" s="22"/>
    </row>
    <row r="7">
      <c r="A7" s="7" t="s">
        <v>53</v>
      </c>
      <c r="B7" s="7" t="s">
        <v>54</v>
      </c>
      <c r="C7" s="7">
        <v>5.1997521619E10</v>
      </c>
      <c r="D7" s="8">
        <v>4.076423909E9</v>
      </c>
      <c r="E7" s="7" t="s">
        <v>55</v>
      </c>
      <c r="F7" s="9">
        <v>30400.0</v>
      </c>
      <c r="G7" s="8" t="s">
        <v>38</v>
      </c>
      <c r="H7" s="7" t="s">
        <v>39</v>
      </c>
      <c r="I7" s="14">
        <v>2533.34</v>
      </c>
      <c r="J7" s="10"/>
      <c r="K7" s="11">
        <v>45989.0</v>
      </c>
      <c r="L7" s="12">
        <v>46323.0</v>
      </c>
      <c r="M7" s="23">
        <v>46140.0</v>
      </c>
      <c r="N7" s="9" t="s">
        <v>40</v>
      </c>
      <c r="O7" s="9" t="s">
        <v>32</v>
      </c>
      <c r="P7" s="7" t="s">
        <v>32</v>
      </c>
      <c r="Q7" s="9" t="s">
        <v>32</v>
      </c>
      <c r="R7" s="7" t="s">
        <v>32</v>
      </c>
      <c r="S7" s="9" t="s">
        <v>32</v>
      </c>
      <c r="T7" s="7" t="s">
        <v>32</v>
      </c>
      <c r="U7" s="9" t="s">
        <v>32</v>
      </c>
      <c r="V7" s="7" t="s">
        <v>32</v>
      </c>
      <c r="W7" s="9" t="s">
        <v>32</v>
      </c>
      <c r="X7" s="9" t="s">
        <v>32</v>
      </c>
      <c r="Y7" s="7" t="s">
        <v>32</v>
      </c>
      <c r="Z7" s="9" t="s">
        <v>32</v>
      </c>
      <c r="AA7" s="7" t="s">
        <v>32</v>
      </c>
      <c r="AB7" s="7" t="s">
        <v>32</v>
      </c>
      <c r="AC7" s="6"/>
    </row>
    <row r="8">
      <c r="A8" s="7" t="s">
        <v>56</v>
      </c>
      <c r="B8" s="7" t="s">
        <v>57</v>
      </c>
      <c r="C8" s="7">
        <v>2.7998256107E10</v>
      </c>
      <c r="D8" s="8" t="s">
        <v>58</v>
      </c>
      <c r="E8" s="7" t="s">
        <v>29</v>
      </c>
      <c r="F8" s="9">
        <v>27600.0</v>
      </c>
      <c r="G8" s="8" t="s">
        <v>43</v>
      </c>
      <c r="H8" s="7" t="s">
        <v>39</v>
      </c>
      <c r="I8" s="9">
        <f>F8/12</f>
        <v>2300</v>
      </c>
      <c r="J8" s="10"/>
      <c r="K8" s="11">
        <v>45967.0</v>
      </c>
      <c r="L8" s="12">
        <v>46045.0</v>
      </c>
      <c r="M8" s="23">
        <v>46139.0</v>
      </c>
      <c r="N8" s="24" t="s">
        <v>40</v>
      </c>
      <c r="O8" s="24">
        <f t="shared" ref="O8:O10" si="3">I8*45%</f>
        <v>1035</v>
      </c>
      <c r="P8" s="24">
        <f t="shared" ref="P8:Z8" si="2">O8</f>
        <v>1035</v>
      </c>
      <c r="Q8" s="24">
        <f t="shared" si="2"/>
        <v>1035</v>
      </c>
      <c r="R8" s="24">
        <f t="shared" si="2"/>
        <v>1035</v>
      </c>
      <c r="S8" s="24">
        <f t="shared" si="2"/>
        <v>1035</v>
      </c>
      <c r="T8" s="24">
        <f t="shared" si="2"/>
        <v>1035</v>
      </c>
      <c r="U8" s="24">
        <f t="shared" si="2"/>
        <v>1035</v>
      </c>
      <c r="V8" s="24">
        <f t="shared" si="2"/>
        <v>1035</v>
      </c>
      <c r="W8" s="24">
        <f t="shared" si="2"/>
        <v>1035</v>
      </c>
      <c r="X8" s="24">
        <f t="shared" si="2"/>
        <v>1035</v>
      </c>
      <c r="Y8" s="24">
        <f t="shared" si="2"/>
        <v>1035</v>
      </c>
      <c r="Z8" s="24">
        <f t="shared" si="2"/>
        <v>1035</v>
      </c>
      <c r="AA8" s="7" t="s">
        <v>32</v>
      </c>
      <c r="AB8" s="7" t="s">
        <v>32</v>
      </c>
      <c r="AC8" s="6"/>
    </row>
    <row r="9">
      <c r="A9" s="7" t="s">
        <v>59</v>
      </c>
      <c r="B9" s="7" t="s">
        <v>60</v>
      </c>
      <c r="C9" s="7">
        <v>6.9993589455E10</v>
      </c>
      <c r="D9" s="8" t="s">
        <v>61</v>
      </c>
      <c r="E9" s="7" t="s">
        <v>29</v>
      </c>
      <c r="F9" s="9">
        <v>26600.0</v>
      </c>
      <c r="G9" s="8" t="s">
        <v>43</v>
      </c>
      <c r="H9" s="7" t="s">
        <v>62</v>
      </c>
      <c r="I9" s="14" t="s">
        <v>63</v>
      </c>
      <c r="J9" s="10"/>
      <c r="K9" s="11">
        <v>45966.0</v>
      </c>
      <c r="L9" s="12">
        <v>46060.0</v>
      </c>
      <c r="M9" s="12" t="s">
        <v>32</v>
      </c>
      <c r="N9" s="13" t="s">
        <v>33</v>
      </c>
      <c r="O9" s="9">
        <f t="shared" si="3"/>
        <v>3189.2985</v>
      </c>
      <c r="P9" s="9">
        <f t="shared" ref="P9:R9" si="4">O9</f>
        <v>3189.2985</v>
      </c>
      <c r="Q9" s="9">
        <f t="shared" si="4"/>
        <v>3189.2985</v>
      </c>
      <c r="R9" s="9">
        <f t="shared" si="4"/>
        <v>3189.2985</v>
      </c>
      <c r="S9" s="24">
        <v>0.0</v>
      </c>
      <c r="T9" s="25"/>
      <c r="U9" s="25"/>
      <c r="V9" s="25"/>
      <c r="W9" s="25"/>
      <c r="X9" s="25"/>
      <c r="Y9" s="25"/>
      <c r="Z9" s="25"/>
      <c r="AA9" s="7" t="s">
        <v>32</v>
      </c>
      <c r="AB9" s="7" t="s">
        <v>32</v>
      </c>
      <c r="AC9" s="6"/>
    </row>
    <row r="10">
      <c r="A10" s="7" t="s">
        <v>64</v>
      </c>
      <c r="B10" s="7" t="s">
        <v>65</v>
      </c>
      <c r="C10" s="7">
        <v>1.999121169E10</v>
      </c>
      <c r="D10" s="8" t="s">
        <v>66</v>
      </c>
      <c r="E10" s="7" t="s">
        <v>29</v>
      </c>
      <c r="F10" s="9">
        <v>26597.0</v>
      </c>
      <c r="G10" s="8" t="s">
        <v>43</v>
      </c>
      <c r="H10" s="7" t="s">
        <v>31</v>
      </c>
      <c r="I10" s="9">
        <v>26597.0</v>
      </c>
      <c r="J10" s="10"/>
      <c r="K10" s="11">
        <v>45970.0</v>
      </c>
      <c r="L10" s="12" t="s">
        <v>32</v>
      </c>
      <c r="M10" s="12" t="s">
        <v>32</v>
      </c>
      <c r="N10" s="13" t="s">
        <v>33</v>
      </c>
      <c r="O10" s="9">
        <f t="shared" si="3"/>
        <v>11968.65</v>
      </c>
      <c r="P10" s="14" t="s">
        <v>32</v>
      </c>
      <c r="Q10" s="9" t="s">
        <v>32</v>
      </c>
      <c r="R10" s="9" t="s">
        <v>32</v>
      </c>
      <c r="S10" s="9" t="s">
        <v>32</v>
      </c>
      <c r="T10" s="9" t="s">
        <v>32</v>
      </c>
      <c r="U10" s="9" t="str">
        <f t="shared" ref="U10:Z10" si="5">T10</f>
        <v>-</v>
      </c>
      <c r="V10" s="9" t="str">
        <f t="shared" si="5"/>
        <v>-</v>
      </c>
      <c r="W10" s="9" t="str">
        <f t="shared" si="5"/>
        <v>-</v>
      </c>
      <c r="X10" s="9" t="str">
        <f t="shared" si="5"/>
        <v>-</v>
      </c>
      <c r="Y10" s="9" t="str">
        <f t="shared" si="5"/>
        <v>-</v>
      </c>
      <c r="Z10" s="9" t="str">
        <f t="shared" si="5"/>
        <v>-</v>
      </c>
      <c r="AA10" s="7" t="s">
        <v>32</v>
      </c>
      <c r="AB10" s="7" t="s">
        <v>32</v>
      </c>
      <c r="AC10" s="6"/>
    </row>
    <row r="11">
      <c r="A11" s="7" t="s">
        <v>67</v>
      </c>
      <c r="B11" s="7" t="s">
        <v>68</v>
      </c>
      <c r="C11" s="7">
        <v>1.4981140381E10</v>
      </c>
      <c r="D11" s="8">
        <v>7.888013848E9</v>
      </c>
      <c r="E11" s="7" t="s">
        <v>69</v>
      </c>
      <c r="F11" s="9">
        <v>30000.0</v>
      </c>
      <c r="G11" s="8" t="s">
        <v>70</v>
      </c>
      <c r="H11" s="7" t="s">
        <v>39</v>
      </c>
      <c r="I11" s="14">
        <v>2500.0</v>
      </c>
      <c r="J11" s="26"/>
      <c r="K11" s="11">
        <v>46111.0</v>
      </c>
      <c r="L11" s="12">
        <v>46476.0</v>
      </c>
      <c r="M11" s="12">
        <v>46142.0</v>
      </c>
      <c r="N11" s="9" t="s">
        <v>40</v>
      </c>
      <c r="O11" s="7" t="s">
        <v>32</v>
      </c>
      <c r="P11" s="7" t="s">
        <v>32</v>
      </c>
      <c r="Q11" s="7" t="s">
        <v>32</v>
      </c>
      <c r="R11" s="7" t="s">
        <v>32</v>
      </c>
      <c r="S11" s="7" t="s">
        <v>32</v>
      </c>
      <c r="T11" s="7" t="s">
        <v>32</v>
      </c>
      <c r="U11" s="7" t="s">
        <v>32</v>
      </c>
      <c r="V11" s="7" t="s">
        <v>32</v>
      </c>
      <c r="W11" s="7" t="s">
        <v>32</v>
      </c>
      <c r="X11" s="7" t="s">
        <v>32</v>
      </c>
      <c r="Y11" s="7" t="s">
        <v>32</v>
      </c>
      <c r="Z11" s="7" t="s">
        <v>32</v>
      </c>
      <c r="AA11" s="7" t="s">
        <v>71</v>
      </c>
      <c r="AB11" s="7" t="s">
        <v>71</v>
      </c>
      <c r="AC11" s="6"/>
    </row>
    <row r="12">
      <c r="A12" s="7" t="s">
        <v>72</v>
      </c>
      <c r="B12" s="7" t="s">
        <v>73</v>
      </c>
      <c r="C12" s="7">
        <v>5.1993475511E10</v>
      </c>
      <c r="D12" s="8">
        <v>3.4044701E8</v>
      </c>
      <c r="E12" s="7" t="s">
        <v>55</v>
      </c>
      <c r="F12" s="9">
        <v>30400.0</v>
      </c>
      <c r="G12" s="8" t="s">
        <v>38</v>
      </c>
      <c r="H12" s="7" t="s">
        <v>39</v>
      </c>
      <c r="I12" s="14">
        <v>2533.34</v>
      </c>
      <c r="J12" s="10"/>
      <c r="K12" s="11">
        <v>45989.0</v>
      </c>
      <c r="L12" s="12">
        <v>46323.0</v>
      </c>
      <c r="M12" s="27">
        <v>46081.0</v>
      </c>
      <c r="N12" s="28" t="s">
        <v>74</v>
      </c>
      <c r="O12" s="9" t="s">
        <v>32</v>
      </c>
      <c r="P12" s="7" t="s">
        <v>32</v>
      </c>
      <c r="Q12" s="9" t="s">
        <v>32</v>
      </c>
      <c r="R12" s="7" t="s">
        <v>32</v>
      </c>
      <c r="S12" s="9" t="s">
        <v>32</v>
      </c>
      <c r="T12" s="7" t="s">
        <v>32</v>
      </c>
      <c r="U12" s="9" t="s">
        <v>32</v>
      </c>
      <c r="V12" s="7" t="s">
        <v>32</v>
      </c>
      <c r="W12" s="9" t="s">
        <v>32</v>
      </c>
      <c r="X12" s="9" t="s">
        <v>32</v>
      </c>
      <c r="Y12" s="7" t="s">
        <v>32</v>
      </c>
      <c r="Z12" s="9" t="s">
        <v>32</v>
      </c>
      <c r="AA12" s="7" t="s">
        <v>32</v>
      </c>
      <c r="AB12" s="7" t="s">
        <v>32</v>
      </c>
      <c r="AC12" s="6"/>
    </row>
    <row r="13">
      <c r="A13" s="7" t="s">
        <v>75</v>
      </c>
      <c r="B13" s="7" t="s">
        <v>76</v>
      </c>
      <c r="C13" s="7" t="s">
        <v>77</v>
      </c>
      <c r="D13" s="8" t="s">
        <v>78</v>
      </c>
      <c r="E13" s="7" t="s">
        <v>55</v>
      </c>
      <c r="F13" s="9">
        <v>27000.0</v>
      </c>
      <c r="G13" s="8" t="s">
        <v>43</v>
      </c>
      <c r="H13" s="7" t="s">
        <v>79</v>
      </c>
      <c r="I13" s="14">
        <v>9000.0</v>
      </c>
      <c r="J13" s="10"/>
      <c r="K13" s="11">
        <v>45968.0</v>
      </c>
      <c r="L13" s="12">
        <v>46041.0</v>
      </c>
      <c r="M13" s="12" t="s">
        <v>32</v>
      </c>
      <c r="N13" s="13" t="s">
        <v>33</v>
      </c>
      <c r="O13" s="9" t="s">
        <v>32</v>
      </c>
      <c r="P13" s="9">
        <f>I13*45%</f>
        <v>4050</v>
      </c>
      <c r="Q13" s="9">
        <f>I13*45%</f>
        <v>4050</v>
      </c>
      <c r="R13" s="9">
        <f>I13*45%</f>
        <v>4050</v>
      </c>
      <c r="S13" s="9" t="s">
        <v>32</v>
      </c>
      <c r="T13" s="9" t="s">
        <v>32</v>
      </c>
      <c r="U13" s="9" t="s">
        <v>32</v>
      </c>
      <c r="V13" s="9" t="s">
        <v>32</v>
      </c>
      <c r="W13" s="9" t="s">
        <v>32</v>
      </c>
      <c r="X13" s="9" t="s">
        <v>32</v>
      </c>
      <c r="Y13" s="9" t="s">
        <v>32</v>
      </c>
      <c r="Z13" s="9" t="s">
        <v>32</v>
      </c>
      <c r="AA13" s="7" t="s">
        <v>32</v>
      </c>
      <c r="AB13" s="7" t="s">
        <v>32</v>
      </c>
      <c r="AC13" s="6"/>
    </row>
    <row r="14">
      <c r="A14" s="7" t="s">
        <v>80</v>
      </c>
      <c r="B14" s="7" t="s">
        <v>81</v>
      </c>
      <c r="C14" s="7">
        <v>1.1969903338E10</v>
      </c>
      <c r="D14" s="8">
        <v>4.1871587824E10</v>
      </c>
      <c r="E14" s="7" t="s">
        <v>29</v>
      </c>
      <c r="F14" s="9">
        <v>30400.0</v>
      </c>
      <c r="G14" s="8" t="s">
        <v>38</v>
      </c>
      <c r="H14" s="7" t="s">
        <v>39</v>
      </c>
      <c r="I14" s="14">
        <v>2533.34</v>
      </c>
      <c r="J14" s="10"/>
      <c r="K14" s="11">
        <v>45967.0</v>
      </c>
      <c r="L14" s="12">
        <v>46301.0</v>
      </c>
      <c r="M14" s="12">
        <v>46087.0</v>
      </c>
      <c r="N14" s="9" t="s">
        <v>40</v>
      </c>
      <c r="O14" s="9" t="s">
        <v>32</v>
      </c>
      <c r="P14" s="9" t="s">
        <v>32</v>
      </c>
      <c r="Q14" s="9" t="s">
        <v>32</v>
      </c>
      <c r="R14" s="9" t="s">
        <v>32</v>
      </c>
      <c r="S14" s="9" t="s">
        <v>32</v>
      </c>
      <c r="T14" s="9" t="s">
        <v>32</v>
      </c>
      <c r="U14" s="9" t="s">
        <v>32</v>
      </c>
      <c r="V14" s="9" t="s">
        <v>32</v>
      </c>
      <c r="W14" s="9" t="s">
        <v>32</v>
      </c>
      <c r="X14" s="9" t="s">
        <v>32</v>
      </c>
      <c r="Y14" s="9" t="s">
        <v>32</v>
      </c>
      <c r="Z14" s="9" t="s">
        <v>32</v>
      </c>
      <c r="AA14" s="7" t="s">
        <v>32</v>
      </c>
      <c r="AB14" s="7" t="s">
        <v>32</v>
      </c>
      <c r="AC14" s="6"/>
    </row>
    <row r="15">
      <c r="A15" s="7" t="s">
        <v>82</v>
      </c>
      <c r="B15" s="7" t="s">
        <v>83</v>
      </c>
      <c r="C15" s="7" t="s">
        <v>84</v>
      </c>
      <c r="D15" s="8">
        <v>3.1838630813E10</v>
      </c>
      <c r="E15" s="7" t="s">
        <v>29</v>
      </c>
      <c r="F15" s="9">
        <v>36000.0</v>
      </c>
      <c r="G15" s="8" t="s">
        <v>38</v>
      </c>
      <c r="H15" s="7" t="s">
        <v>39</v>
      </c>
      <c r="I15" s="9">
        <v>3000.0</v>
      </c>
      <c r="J15" s="10"/>
      <c r="K15" s="11">
        <v>46052.0</v>
      </c>
      <c r="L15" s="12">
        <v>46386.0</v>
      </c>
      <c r="M15" s="23">
        <v>46142.0</v>
      </c>
      <c r="N15" s="9" t="s">
        <v>40</v>
      </c>
      <c r="O15" s="9" t="s">
        <v>32</v>
      </c>
      <c r="P15" s="14" t="s">
        <v>32</v>
      </c>
      <c r="Q15" s="7" t="s">
        <v>32</v>
      </c>
      <c r="R15" s="7" t="s">
        <v>32</v>
      </c>
      <c r="S15" s="7" t="s">
        <v>32</v>
      </c>
      <c r="T15" s="7" t="s">
        <v>32</v>
      </c>
      <c r="U15" s="7" t="s">
        <v>32</v>
      </c>
      <c r="V15" s="7" t="s">
        <v>32</v>
      </c>
      <c r="W15" s="7" t="s">
        <v>32</v>
      </c>
      <c r="X15" s="7" t="s">
        <v>32</v>
      </c>
      <c r="Y15" s="7" t="s">
        <v>32</v>
      </c>
      <c r="Z15" s="7" t="s">
        <v>32</v>
      </c>
      <c r="AA15" s="7" t="s">
        <v>32</v>
      </c>
      <c r="AB15" s="7" t="s">
        <v>32</v>
      </c>
      <c r="AC15" s="6"/>
    </row>
    <row r="16">
      <c r="A16" s="7" t="s">
        <v>85</v>
      </c>
      <c r="B16" s="7" t="s">
        <v>86</v>
      </c>
      <c r="C16" s="7">
        <v>5.1981834346E10</v>
      </c>
      <c r="D16" s="8" t="s">
        <v>87</v>
      </c>
      <c r="E16" s="7" t="s">
        <v>29</v>
      </c>
      <c r="F16" s="9">
        <v>30400.0</v>
      </c>
      <c r="G16" s="8" t="s">
        <v>38</v>
      </c>
      <c r="H16" s="7" t="s">
        <v>39</v>
      </c>
      <c r="I16" s="14">
        <v>2533.34</v>
      </c>
      <c r="J16" s="10"/>
      <c r="K16" s="11">
        <v>45967.0</v>
      </c>
      <c r="L16" s="12">
        <v>46302.0</v>
      </c>
      <c r="M16" s="12">
        <v>46089.0</v>
      </c>
      <c r="N16" s="9" t="s">
        <v>40</v>
      </c>
      <c r="O16" s="9" t="s">
        <v>32</v>
      </c>
      <c r="P16" s="9" t="s">
        <v>32</v>
      </c>
      <c r="Q16" s="9" t="s">
        <v>32</v>
      </c>
      <c r="R16" s="9" t="s">
        <v>32</v>
      </c>
      <c r="S16" s="9" t="s">
        <v>32</v>
      </c>
      <c r="T16" s="9" t="s">
        <v>32</v>
      </c>
      <c r="U16" s="9" t="s">
        <v>32</v>
      </c>
      <c r="V16" s="9" t="s">
        <v>32</v>
      </c>
      <c r="W16" s="9" t="s">
        <v>32</v>
      </c>
      <c r="X16" s="9" t="s">
        <v>32</v>
      </c>
      <c r="Y16" s="9" t="s">
        <v>32</v>
      </c>
      <c r="Z16" s="9" t="s">
        <v>32</v>
      </c>
      <c r="AA16" s="7" t="s">
        <v>32</v>
      </c>
      <c r="AB16" s="7" t="s">
        <v>32</v>
      </c>
      <c r="AC16" s="6"/>
    </row>
    <row r="17">
      <c r="A17" s="7" t="s">
        <v>88</v>
      </c>
      <c r="B17" s="7" t="s">
        <v>89</v>
      </c>
      <c r="C17" s="7">
        <v>8.4999526882E10</v>
      </c>
      <c r="D17" s="8">
        <v>1.0087956403E10</v>
      </c>
      <c r="E17" s="7" t="s">
        <v>29</v>
      </c>
      <c r="F17" s="9">
        <v>30400.0</v>
      </c>
      <c r="G17" s="8" t="s">
        <v>38</v>
      </c>
      <c r="H17" s="7" t="s">
        <v>39</v>
      </c>
      <c r="I17" s="14">
        <v>2533.34</v>
      </c>
      <c r="J17" s="10"/>
      <c r="K17" s="11">
        <v>45967.0</v>
      </c>
      <c r="L17" s="12">
        <v>46302.0</v>
      </c>
      <c r="M17" s="12">
        <v>46087.0</v>
      </c>
      <c r="N17" s="9" t="s">
        <v>40</v>
      </c>
      <c r="O17" s="9" t="s">
        <v>32</v>
      </c>
      <c r="P17" s="9" t="s">
        <v>32</v>
      </c>
      <c r="Q17" s="9" t="s">
        <v>32</v>
      </c>
      <c r="R17" s="9" t="s">
        <v>32</v>
      </c>
      <c r="S17" s="9" t="s">
        <v>32</v>
      </c>
      <c r="T17" s="9" t="s">
        <v>32</v>
      </c>
      <c r="U17" s="9" t="s">
        <v>32</v>
      </c>
      <c r="V17" s="9" t="s">
        <v>32</v>
      </c>
      <c r="W17" s="9" t="s">
        <v>32</v>
      </c>
      <c r="X17" s="9" t="s">
        <v>32</v>
      </c>
      <c r="Y17" s="9" t="s">
        <v>32</v>
      </c>
      <c r="Z17" s="9" t="s">
        <v>32</v>
      </c>
      <c r="AA17" s="7" t="s">
        <v>32</v>
      </c>
      <c r="AB17" s="7" t="s">
        <v>32</v>
      </c>
      <c r="AC17" s="6"/>
    </row>
    <row r="18">
      <c r="A18" s="7" t="s">
        <v>90</v>
      </c>
      <c r="B18" s="7" t="s">
        <v>91</v>
      </c>
      <c r="C18" s="7">
        <v>2.1999868651E10</v>
      </c>
      <c r="D18" s="8" t="s">
        <v>92</v>
      </c>
      <c r="E18" s="7" t="s">
        <v>29</v>
      </c>
      <c r="F18" s="9">
        <v>26597.0</v>
      </c>
      <c r="G18" s="8" t="s">
        <v>43</v>
      </c>
      <c r="H18" s="7" t="s">
        <v>31</v>
      </c>
      <c r="I18" s="9">
        <v>26597.0</v>
      </c>
      <c r="J18" s="10"/>
      <c r="K18" s="11">
        <v>45967.0</v>
      </c>
      <c r="L18" s="12" t="s">
        <v>32</v>
      </c>
      <c r="M18" s="12" t="s">
        <v>32</v>
      </c>
      <c r="N18" s="13" t="s">
        <v>33</v>
      </c>
      <c r="O18" s="9" t="s">
        <v>32</v>
      </c>
      <c r="P18" s="14">
        <f>I18*45%</f>
        <v>11968.65</v>
      </c>
      <c r="Q18" s="7" t="s">
        <v>32</v>
      </c>
      <c r="R18" s="7" t="s">
        <v>32</v>
      </c>
      <c r="S18" s="7" t="s">
        <v>32</v>
      </c>
      <c r="T18" s="7" t="s">
        <v>32</v>
      </c>
      <c r="U18" s="7" t="s">
        <v>32</v>
      </c>
      <c r="V18" s="7" t="s">
        <v>32</v>
      </c>
      <c r="W18" s="7" t="s">
        <v>32</v>
      </c>
      <c r="X18" s="7" t="s">
        <v>32</v>
      </c>
      <c r="Y18" s="7" t="s">
        <v>32</v>
      </c>
      <c r="Z18" s="7" t="s">
        <v>32</v>
      </c>
      <c r="AA18" s="7" t="s">
        <v>32</v>
      </c>
      <c r="AB18" s="7" t="s">
        <v>32</v>
      </c>
      <c r="AC18" s="6"/>
    </row>
    <row r="19">
      <c r="A19" s="29" t="s">
        <v>93</v>
      </c>
      <c r="B19" s="29" t="s">
        <v>94</v>
      </c>
      <c r="C19" s="29" t="s">
        <v>95</v>
      </c>
      <c r="D19" s="30">
        <v>3.0265807832E10</v>
      </c>
      <c r="E19" s="29" t="s">
        <v>69</v>
      </c>
      <c r="F19" s="31">
        <v>30400.0</v>
      </c>
      <c r="G19" s="30" t="s">
        <v>38</v>
      </c>
      <c r="H19" s="29" t="s">
        <v>39</v>
      </c>
      <c r="I19" s="32">
        <v>2533.34</v>
      </c>
      <c r="J19" s="33"/>
      <c r="K19" s="34">
        <v>46066.0</v>
      </c>
      <c r="L19" s="35">
        <v>46400.0</v>
      </c>
      <c r="M19" s="35">
        <v>46460.0</v>
      </c>
      <c r="N19" s="31" t="s">
        <v>40</v>
      </c>
      <c r="O19" s="31" t="s">
        <v>32</v>
      </c>
      <c r="P19" s="32" t="s">
        <v>32</v>
      </c>
      <c r="Q19" s="29" t="s">
        <v>32</v>
      </c>
      <c r="R19" s="29" t="s">
        <v>32</v>
      </c>
      <c r="S19" s="29" t="s">
        <v>32</v>
      </c>
      <c r="T19" s="29" t="s">
        <v>32</v>
      </c>
      <c r="U19" s="29" t="s">
        <v>32</v>
      </c>
      <c r="V19" s="29" t="s">
        <v>32</v>
      </c>
      <c r="W19" s="29" t="s">
        <v>32</v>
      </c>
      <c r="X19" s="29" t="s">
        <v>32</v>
      </c>
      <c r="Y19" s="29" t="s">
        <v>32</v>
      </c>
      <c r="Z19" s="29" t="s">
        <v>32</v>
      </c>
      <c r="AA19" s="29" t="s">
        <v>32</v>
      </c>
      <c r="AB19" s="29" t="s">
        <v>32</v>
      </c>
      <c r="AC19" s="6"/>
    </row>
  </sheetData>
  <drawing r:id="rId1"/>
</worksheet>
</file>